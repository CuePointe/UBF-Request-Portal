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andabiodiversity-my.sharepoint.com/personal/s_abonyo_ugandabiodiversityfund_org/Documents/Procurements/FEBRUARY 2026/01_Car service - UBK 936R/"/>
    </mc:Choice>
  </mc:AlternateContent>
  <xr:revisionPtr revIDLastSave="0" documentId="8_{0CDA2AE0-D7A9-4ACF-AA9D-9B98C9A612C8}" xr6:coauthVersionLast="47" xr6:coauthVersionMax="47" xr10:uidLastSave="{00000000-0000-0000-0000-000000000000}"/>
  <bookViews>
    <workbookView xWindow="-120" yWindow="-120" windowWidth="29040" windowHeight="15720" xr2:uid="{3C090BAE-3121-4B22-915F-AD1540EF640F}"/>
  </bookViews>
  <sheets>
    <sheet name="Sheet1" sheetId="1" r:id="rId1"/>
  </sheets>
  <definedNames>
    <definedName name="_xlnm.Print_Area" localSheetId="0">Sheet1!$A$1:$M$48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18" i="1"/>
  <c r="L31" i="1" s="1"/>
  <c r="L28" i="1"/>
  <c r="K35" i="1"/>
  <c r="H27" i="1"/>
  <c r="L17" i="1"/>
  <c r="C9" i="1"/>
  <c r="C31" i="1" l="1"/>
  <c r="C11" i="1"/>
</calcChain>
</file>

<file path=xl/sharedStrings.xml><?xml version="1.0" encoding="utf-8"?>
<sst xmlns="http://schemas.openxmlformats.org/spreadsheetml/2006/main" count="38" uniqueCount="38">
  <si>
    <t>CHEQUE PAYMENT VOUCHER</t>
  </si>
  <si>
    <t>Date:</t>
  </si>
  <si>
    <t xml:space="preserve">Voucher No: </t>
  </si>
  <si>
    <t>Amount:</t>
  </si>
  <si>
    <t xml:space="preserve">Cheque No: </t>
  </si>
  <si>
    <t>Payee:</t>
  </si>
  <si>
    <t>#</t>
  </si>
  <si>
    <t>Payment Particulars</t>
  </si>
  <si>
    <t>Acc Code</t>
  </si>
  <si>
    <t>VAT at 18%</t>
  </si>
  <si>
    <t>Less: With Holding Tax</t>
  </si>
  <si>
    <t>(Amount in Words)</t>
  </si>
  <si>
    <t>Total</t>
  </si>
  <si>
    <t>Prepared By:</t>
  </si>
  <si>
    <t xml:space="preserve">Title: </t>
  </si>
  <si>
    <t>Signiture</t>
  </si>
  <si>
    <t>Date</t>
  </si>
  <si>
    <t xml:space="preserve">Susan Abonyo </t>
  </si>
  <si>
    <t xml:space="preserve">Administration Officer  </t>
  </si>
  <si>
    <t>Reviewed By:</t>
  </si>
  <si>
    <t>Winnie Nabatanzi</t>
  </si>
  <si>
    <t>Authorised By;</t>
  </si>
  <si>
    <t>Ivan Amanigaruhanga</t>
  </si>
  <si>
    <t>Executive Director</t>
  </si>
  <si>
    <t>Donor</t>
  </si>
  <si>
    <t>Project</t>
  </si>
  <si>
    <t>Budget</t>
  </si>
  <si>
    <t>Staff</t>
  </si>
  <si>
    <t>Partner</t>
  </si>
  <si>
    <t>Supplier</t>
  </si>
  <si>
    <t>Budget Category</t>
  </si>
  <si>
    <t>Code</t>
  </si>
  <si>
    <t>Decc</t>
  </si>
  <si>
    <t>NO</t>
  </si>
  <si>
    <t xml:space="preserve">             Finance and Administration Manager.</t>
  </si>
  <si>
    <t>YES</t>
  </si>
  <si>
    <t>Ultimate Security</t>
  </si>
  <si>
    <t>Being payment for rental security alarm arrears.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</si>
</sst>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USh&quot;* #,##0.00_-;\-&quot;USh&quot;* #,##0.00_-;_-&quot;USh&quot;* &quot;-&quot;??_-;_-@_-"/>
    <numFmt numFmtId="43" formatCode="_-* #,##0.00_-;\-* #,##0.00_-;_-* &quot;-&quot;??_-;_-@_-"/>
    <numFmt numFmtId="164" formatCode="_-* #,##0.00_-;\-* #,##0.00_-;_-* &quot;-&quot;_-;_-@_-"/>
    <numFmt numFmtId="165" formatCode="mmm\,\ dd\ yyyy"/>
    <numFmt numFmtId="166" formatCode="[$-409]dd/mmmm/yyyy;@"/>
    <numFmt numFmtId="167" formatCode="[$]dddd\,\ d\ mmmm\ yyyy" x16r2:formatCode16="[$-en-UG]dddd\,\ d\ mmmm\ 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sz val="14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7">
    <xf numFmtId="0" fontId="0" fillId="0" borderId="0" xfId="0"/>
    <xf numFmtId="164" fontId="2" fillId="0" borderId="0" xfId="0" applyNumberFormat="1" applyFont="1" applyProtection="1">
      <protection locked="0"/>
    </xf>
    <xf numFmtId="164" fontId="2" fillId="0" borderId="0" xfId="0" applyNumberFormat="1" applyFont="1" applyAlignment="1" applyProtection="1">
      <alignment horizontal="left" vertical="top"/>
      <protection locked="0"/>
    </xf>
    <xf numFmtId="164" fontId="2" fillId="0" borderId="0" xfId="0" applyNumberFormat="1" applyFont="1" applyAlignment="1">
      <alignment horizontal="left" vertical="top"/>
    </xf>
    <xf numFmtId="164" fontId="2" fillId="0" borderId="0" xfId="1" applyNumberFormat="1" applyFont="1" applyProtection="1">
      <protection locked="0"/>
    </xf>
    <xf numFmtId="0" fontId="3" fillId="0" borderId="0" xfId="0" applyFont="1"/>
    <xf numFmtId="164" fontId="4" fillId="0" borderId="0" xfId="0" applyNumberFormat="1" applyFont="1" applyProtection="1">
      <protection locked="0"/>
    </xf>
    <xf numFmtId="164" fontId="2" fillId="0" borderId="1" xfId="0" applyNumberFormat="1" applyFont="1" applyBorder="1" applyAlignment="1" applyProtection="1">
      <alignment horizontal="centerContinuous" vertical="center"/>
      <protection locked="0"/>
    </xf>
    <xf numFmtId="164" fontId="2" fillId="0" borderId="1" xfId="0" applyNumberFormat="1" applyFont="1" applyBorder="1" applyAlignment="1" applyProtection="1">
      <alignment horizontal="centerContinuous" vertical="top"/>
      <protection locked="0"/>
    </xf>
    <xf numFmtId="164" fontId="2" fillId="0" borderId="2" xfId="0" applyNumberFormat="1" applyFont="1" applyBorder="1" applyAlignment="1" applyProtection="1">
      <alignment horizontal="centerContinuous" vertical="top"/>
      <protection locked="0"/>
    </xf>
    <xf numFmtId="164" fontId="2" fillId="0" borderId="2" xfId="0" applyNumberFormat="1" applyFont="1" applyBorder="1" applyAlignment="1">
      <alignment horizontal="centerContinuous" vertical="top"/>
    </xf>
    <xf numFmtId="164" fontId="2" fillId="0" borderId="2" xfId="0" applyNumberFormat="1" applyFont="1" applyBorder="1" applyAlignment="1" applyProtection="1">
      <alignment horizontal="centerContinuous"/>
      <protection locked="0"/>
    </xf>
    <xf numFmtId="164" fontId="2" fillId="0" borderId="2" xfId="0" applyNumberFormat="1" applyFont="1" applyBorder="1" applyAlignment="1" applyProtection="1">
      <alignment horizontal="centerContinuous" vertical="center"/>
      <protection locked="0"/>
    </xf>
    <xf numFmtId="164" fontId="2" fillId="0" borderId="3" xfId="0" applyNumberFormat="1" applyFont="1" applyBorder="1" applyAlignment="1" applyProtection="1">
      <alignment horizontal="centerContinuous"/>
      <protection locked="0"/>
    </xf>
    <xf numFmtId="164" fontId="2" fillId="0" borderId="3" xfId="1" applyNumberFormat="1" applyFont="1" applyBorder="1" applyAlignment="1" applyProtection="1">
      <alignment horizontal="centerContinuous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164" fontId="2" fillId="0" borderId="0" xfId="0" applyNumberFormat="1" applyFont="1" applyAlignment="1" applyProtection="1">
      <alignment horizontal="right" vertical="top"/>
      <protection locked="0"/>
    </xf>
    <xf numFmtId="164" fontId="2" fillId="0" borderId="4" xfId="0" applyNumberFormat="1" applyFont="1" applyBorder="1" applyAlignment="1" applyProtection="1">
      <alignment horizontal="left" vertical="top"/>
      <protection locked="0"/>
    </xf>
    <xf numFmtId="164" fontId="2" fillId="0" borderId="4" xfId="0" applyNumberFormat="1" applyFont="1" applyBorder="1" applyAlignment="1" applyProtection="1">
      <alignment vertical="center"/>
      <protection locked="0"/>
    </xf>
    <xf numFmtId="164" fontId="4" fillId="0" borderId="0" xfId="0" applyNumberFormat="1" applyFont="1" applyAlignment="1" applyProtection="1">
      <alignment horizontal="left" vertical="top"/>
      <protection locked="0"/>
    </xf>
    <xf numFmtId="164" fontId="4" fillId="0" borderId="0" xfId="0" applyNumberFormat="1" applyFont="1" applyAlignment="1">
      <alignment horizontal="left" vertical="top"/>
    </xf>
    <xf numFmtId="164" fontId="2" fillId="0" borderId="0" xfId="0" applyNumberFormat="1" applyFont="1" applyAlignment="1" applyProtection="1">
      <alignment horizontal="right" vertical="center"/>
      <protection locked="0"/>
    </xf>
    <xf numFmtId="164" fontId="2" fillId="0" borderId="4" xfId="0" applyNumberFormat="1" applyFont="1" applyBorder="1" applyProtection="1">
      <protection locked="0"/>
    </xf>
    <xf numFmtId="164" fontId="2" fillId="0" borderId="0" xfId="1" applyNumberFormat="1" applyFont="1" applyBorder="1" applyProtection="1">
      <protection locked="0"/>
    </xf>
    <xf numFmtId="164" fontId="2" fillId="0" borderId="0" xfId="0" applyNumberFormat="1" applyFont="1" applyAlignment="1" applyProtection="1">
      <alignment horizontal="left" vertical="center"/>
      <protection locked="0"/>
    </xf>
    <xf numFmtId="164" fontId="2" fillId="0" borderId="0" xfId="0" applyNumberFormat="1" applyFont="1" applyAlignment="1" applyProtection="1">
      <alignment vertical="center"/>
      <protection locked="0"/>
    </xf>
    <xf numFmtId="164" fontId="6" fillId="0" borderId="5" xfId="1" applyNumberFormat="1" applyFont="1" applyBorder="1" applyProtection="1">
      <protection locked="0" hidden="1"/>
    </xf>
    <xf numFmtId="164" fontId="2" fillId="0" borderId="5" xfId="1" applyNumberFormat="1" applyFont="1" applyBorder="1" applyProtection="1">
      <protection locked="0"/>
    </xf>
    <xf numFmtId="164" fontId="2" fillId="0" borderId="5" xfId="0" applyNumberFormat="1" applyFont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64" fontId="2" fillId="0" borderId="5" xfId="1" applyNumberFormat="1" applyFont="1" applyBorder="1" applyAlignment="1" applyProtection="1">
      <alignment horizontal="center" vertical="center" wrapText="1"/>
      <protection hidden="1"/>
    </xf>
    <xf numFmtId="164" fontId="2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/>
    <xf numFmtId="164" fontId="2" fillId="0" borderId="1" xfId="0" applyNumberFormat="1" applyFont="1" applyBorder="1" applyAlignment="1" applyProtection="1">
      <alignment horizontal="center" vertical="center"/>
      <protection locked="0"/>
    </xf>
    <xf numFmtId="41" fontId="4" fillId="0" borderId="5" xfId="1" applyNumberFormat="1" applyFont="1" applyBorder="1" applyAlignment="1" applyProtection="1">
      <alignment horizontal="left" vertical="center" wrapText="1"/>
      <protection locked="0"/>
    </xf>
    <xf numFmtId="164" fontId="4" fillId="0" borderId="5" xfId="1" applyNumberFormat="1" applyFont="1" applyBorder="1" applyAlignment="1" applyProtection="1">
      <alignment horizontal="left" vertical="center" wrapText="1"/>
      <protection locked="0"/>
    </xf>
    <xf numFmtId="164" fontId="4" fillId="0" borderId="4" xfId="0" applyNumberFormat="1" applyFont="1" applyBorder="1" applyAlignment="1" applyProtection="1">
      <alignment horizontal="left" vertical="center" wrapText="1"/>
      <protection locked="0"/>
    </xf>
    <xf numFmtId="164" fontId="2" fillId="0" borderId="3" xfId="0" applyNumberFormat="1" applyFont="1" applyBorder="1" applyAlignment="1" applyProtection="1">
      <alignment horizontal="center" vertical="center"/>
      <protection locked="0"/>
    </xf>
    <xf numFmtId="164" fontId="4" fillId="0" borderId="7" xfId="0" applyNumberFormat="1" applyFont="1" applyBorder="1" applyAlignment="1" applyProtection="1">
      <alignment vertical="center"/>
      <protection locked="0"/>
    </xf>
    <xf numFmtId="9" fontId="4" fillId="0" borderId="7" xfId="3" applyFont="1" applyBorder="1" applyAlignment="1" applyProtection="1">
      <alignment vertical="center"/>
    </xf>
    <xf numFmtId="164" fontId="4" fillId="0" borderId="5" xfId="0" applyNumberFormat="1" applyFont="1" applyBorder="1" applyAlignment="1" applyProtection="1">
      <alignment vertical="center"/>
      <protection locked="0"/>
    </xf>
    <xf numFmtId="9" fontId="4" fillId="0" borderId="5" xfId="3" applyFont="1" applyBorder="1" applyAlignment="1" applyProtection="1">
      <alignment vertical="center"/>
      <protection locked="0"/>
    </xf>
    <xf numFmtId="164" fontId="4" fillId="0" borderId="5" xfId="1" applyNumberFormat="1" applyFont="1" applyBorder="1" applyAlignment="1" applyProtection="1">
      <alignment horizontal="center" vertical="center"/>
    </xf>
    <xf numFmtId="164" fontId="4" fillId="0" borderId="5" xfId="1" applyNumberFormat="1" applyFont="1" applyBorder="1" applyAlignment="1" applyProtection="1">
      <alignment horizontal="center" vertical="center"/>
      <protection locked="0"/>
    </xf>
    <xf numFmtId="164" fontId="2" fillId="0" borderId="5" xfId="1" applyNumberFormat="1" applyFont="1" applyBorder="1" applyAlignment="1" applyProtection="1">
      <alignment horizontal="center" vertical="center"/>
      <protection locked="0"/>
    </xf>
    <xf numFmtId="164" fontId="2" fillId="0" borderId="5" xfId="0" applyNumberFormat="1" applyFont="1" applyBorder="1" applyAlignment="1" applyProtection="1">
      <alignment horizontal="center" vertical="center" wrapText="1"/>
      <protection locked="0" hidden="1"/>
    </xf>
    <xf numFmtId="41" fontId="2" fillId="0" borderId="5" xfId="1" applyNumberFormat="1" applyFont="1" applyBorder="1" applyAlignment="1" applyProtection="1">
      <alignment horizontal="left" vertical="center" indent="2"/>
    </xf>
    <xf numFmtId="164" fontId="4" fillId="0" borderId="4" xfId="0" applyNumberFormat="1" applyFont="1" applyBorder="1" applyAlignment="1" applyProtection="1">
      <alignment vertical="center"/>
      <protection locked="0"/>
    </xf>
    <xf numFmtId="164" fontId="2" fillId="0" borderId="0" xfId="0" applyNumberFormat="1" applyFont="1"/>
    <xf numFmtId="164" fontId="4" fillId="0" borderId="4" xfId="0" applyNumberFormat="1" applyFont="1" applyBorder="1" applyAlignment="1" applyProtection="1">
      <alignment horizontal="left" vertical="center"/>
      <protection locked="0"/>
    </xf>
    <xf numFmtId="166" fontId="2" fillId="0" borderId="4" xfId="0" applyNumberFormat="1" applyFont="1" applyBorder="1" applyAlignment="1">
      <alignment horizontal="centerContinuous" vertical="center"/>
    </xf>
    <xf numFmtId="167" fontId="2" fillId="0" borderId="4" xfId="0" applyNumberFormat="1" applyFont="1" applyBorder="1" applyAlignment="1">
      <alignment horizontal="centerContinuous" vertical="center"/>
    </xf>
    <xf numFmtId="164" fontId="2" fillId="0" borderId="0" xfId="0" applyNumberFormat="1" applyFont="1" applyAlignment="1" applyProtection="1">
      <alignment horizontal="right"/>
      <protection locked="0"/>
    </xf>
    <xf numFmtId="164" fontId="2" fillId="0" borderId="4" xfId="0" applyNumberFormat="1" applyFont="1" applyBorder="1" applyAlignment="1" applyProtection="1">
      <alignment horizontal="centerContinuous" vertical="center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164" fontId="4" fillId="0" borderId="0" xfId="0" applyNumberFormat="1" applyFont="1" applyAlignment="1" applyProtection="1">
      <alignment horizontal="left" vertical="center"/>
      <protection locked="0"/>
    </xf>
    <xf numFmtId="164" fontId="2" fillId="0" borderId="0" xfId="0" applyNumberFormat="1" applyFont="1" applyAlignment="1" applyProtection="1">
      <alignment horizontal="centerContinuous" vertical="center"/>
      <protection locked="0"/>
    </xf>
    <xf numFmtId="164" fontId="2" fillId="0" borderId="5" xfId="0" applyNumberFormat="1" applyFont="1" applyBorder="1" applyAlignment="1" applyProtection="1">
      <alignment horizontal="left" vertical="top"/>
      <protection locked="0"/>
    </xf>
    <xf numFmtId="164" fontId="2" fillId="0" borderId="3" xfId="0" applyNumberFormat="1" applyFont="1" applyBorder="1" applyAlignment="1" applyProtection="1">
      <alignment horizontal="centerContinuous" vertical="top"/>
      <protection locked="0"/>
    </xf>
    <xf numFmtId="164" fontId="2" fillId="0" borderId="5" xfId="0" applyNumberFormat="1" applyFont="1" applyBorder="1" applyProtection="1">
      <protection locked="0"/>
    </xf>
    <xf numFmtId="164" fontId="2" fillId="0" borderId="5" xfId="0" applyNumberFormat="1" applyFont="1" applyBorder="1" applyAlignment="1">
      <alignment horizontal="left" vertical="top"/>
    </xf>
    <xf numFmtId="164" fontId="2" fillId="0" borderId="8" xfId="0" applyNumberFormat="1" applyFont="1" applyBorder="1" applyAlignment="1" applyProtection="1">
      <alignment horizontal="centerContinuous" vertical="top"/>
      <protection locked="0"/>
    </xf>
    <xf numFmtId="164" fontId="2" fillId="0" borderId="6" xfId="0" applyNumberFormat="1" applyFont="1" applyBorder="1" applyAlignment="1" applyProtection="1">
      <alignment horizontal="centerContinuous" vertical="top"/>
      <protection locked="0"/>
    </xf>
    <xf numFmtId="164" fontId="4" fillId="0" borderId="0" xfId="0" applyNumberFormat="1" applyFont="1"/>
    <xf numFmtId="41" fontId="4" fillId="0" borderId="5" xfId="1" applyNumberFormat="1" applyFont="1" applyBorder="1" applyAlignment="1" applyProtection="1">
      <alignment horizontal="left" vertical="center" wrapText="1" indent="2"/>
      <protection locked="0"/>
    </xf>
    <xf numFmtId="41" fontId="4" fillId="0" borderId="5" xfId="4" applyFont="1" applyBorder="1"/>
    <xf numFmtId="41" fontId="3" fillId="0" borderId="0" xfId="0" applyNumberFormat="1" applyFont="1"/>
    <xf numFmtId="164" fontId="2" fillId="0" borderId="5" xfId="0" applyNumberFormat="1" applyFont="1" applyBorder="1" applyAlignment="1" applyProtection="1">
      <alignment horizontal="center" vertical="center" wrapText="1"/>
      <protection hidden="1"/>
    </xf>
    <xf numFmtId="164" fontId="4" fillId="0" borderId="5" xfId="0" applyNumberFormat="1" applyFont="1" applyBorder="1" applyAlignment="1" applyProtection="1">
      <alignment horizontal="left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0" borderId="2" xfId="0" applyNumberFormat="1" applyFont="1" applyBorder="1" applyAlignment="1" applyProtection="1">
      <alignment horizontal="left" vertical="center" wrapText="1"/>
      <protection locked="0"/>
    </xf>
    <xf numFmtId="164" fontId="4" fillId="0" borderId="3" xfId="0" applyNumberFormat="1" applyFont="1" applyBorder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 applyProtection="1">
      <alignment horizontal="left" vertical="center"/>
      <protection locked="0"/>
    </xf>
    <xf numFmtId="164" fontId="2" fillId="0" borderId="7" xfId="0" applyNumberFormat="1" applyFont="1" applyBorder="1" applyAlignment="1" applyProtection="1">
      <alignment horizontal="left" vertical="center"/>
      <protection locked="0"/>
    </xf>
    <xf numFmtId="164" fontId="2" fillId="0" borderId="3" xfId="0" applyNumberFormat="1" applyFont="1" applyBorder="1" applyAlignment="1" applyProtection="1">
      <alignment horizontal="left" vertical="center"/>
      <protection locked="0"/>
    </xf>
    <xf numFmtId="164" fontId="2" fillId="0" borderId="5" xfId="0" applyNumberFormat="1" applyFont="1" applyBorder="1" applyAlignment="1" applyProtection="1">
      <alignment horizontal="left" vertical="center"/>
      <protection locked="0"/>
    </xf>
    <xf numFmtId="164" fontId="4" fillId="0" borderId="3" xfId="0" applyNumberFormat="1" applyFont="1" applyBorder="1" applyAlignment="1" applyProtection="1">
      <alignment horizontal="left" vertical="center"/>
      <protection locked="0"/>
    </xf>
    <xf numFmtId="164" fontId="4" fillId="0" borderId="5" xfId="0" applyNumberFormat="1" applyFont="1" applyBorder="1" applyAlignment="1" applyProtection="1">
      <alignment horizontal="left" vertical="center"/>
      <protection locked="0"/>
    </xf>
    <xf numFmtId="164" fontId="2" fillId="0" borderId="5" xfId="0" applyNumberFormat="1" applyFont="1" applyBorder="1" applyAlignment="1" applyProtection="1">
      <alignment horizontal="center" vertical="center"/>
      <protection locked="0"/>
    </xf>
    <xf numFmtId="164" fontId="4" fillId="2" borderId="5" xfId="0" applyNumberFormat="1" applyFont="1" applyFill="1" applyBorder="1" applyAlignment="1" applyProtection="1">
      <alignment horizontal="left" vertical="center" wrapText="1"/>
      <protection locked="0"/>
    </xf>
    <xf numFmtId="165" fontId="4" fillId="0" borderId="4" xfId="0" applyNumberFormat="1" applyFont="1" applyBorder="1" applyAlignment="1" applyProtection="1">
      <alignment horizontal="center" vertical="top"/>
      <protection locked="0"/>
    </xf>
    <xf numFmtId="41" fontId="2" fillId="0" borderId="4" xfId="2" applyNumberFormat="1" applyFont="1" applyBorder="1" applyAlignment="1" applyProtection="1">
      <alignment horizontal="center" vertical="center"/>
    </xf>
    <xf numFmtId="164" fontId="2" fillId="0" borderId="4" xfId="0" applyNumberFormat="1" applyFont="1" applyBorder="1" applyAlignment="1" applyProtection="1">
      <alignment horizontal="left" vertical="center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64" fontId="2" fillId="0" borderId="2" xfId="0" applyNumberFormat="1" applyFont="1" applyBorder="1" applyAlignment="1" applyProtection="1">
      <alignment horizontal="center" vertical="center" wrapText="1"/>
      <protection locked="0"/>
    </xf>
    <xf numFmtId="164" fontId="2" fillId="0" borderId="3" xfId="0" applyNumberFormat="1" applyFont="1" applyBorder="1" applyAlignment="1" applyProtection="1">
      <alignment horizontal="center" vertical="center" wrapText="1"/>
      <protection locked="0"/>
    </xf>
  </cellXfs>
  <cellStyles count="5">
    <cellStyle name="Comma" xfId="1" builtinId="3"/>
    <cellStyle name="Comma [0]" xfId="4" builtinId="6"/>
    <cellStyle name="Currency" xfId="2" builtinId="4"/>
    <cellStyle name="Normal" xfId="0" builtinId="0"/>
    <cellStyle name="Percent" xfId="3" builtinId="5"/>
  </cellStyles>
  <dxfs count="4">
    <dxf>
      <font>
        <b/>
        <i val="0"/>
        <strike/>
        <color rgb="FFFF0000"/>
      </font>
    </dxf>
    <dxf>
      <numFmt numFmtId="168" formatCode="_-[$£-809]* #,##0.00_-;\-[$£-809]* #,##0.00_-;_-[$£-809]* &quot;-&quot;??_-;_-@_-"/>
    </dxf>
    <dxf>
      <numFmt numFmtId="169" formatCode="_-[$€-2]\ * #,##0.00_-;\-[$€-2]\ * #,##0.00_-;_-[$€-2]\ * &quot;-&quot;??_-;_-@_-"/>
    </dxf>
    <dxf>
      <numFmt numFmtId="170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4" dropStyle="combo" dx="16" fmlaLink="$L$15" fmlaRange="$Z$4:$Z$7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713344</xdr:colOff>
      <xdr:row>0</xdr:row>
      <xdr:rowOff>0</xdr:rowOff>
    </xdr:from>
    <xdr:to>
      <xdr:col>10</xdr:col>
      <xdr:colOff>123825</xdr:colOff>
      <xdr:row>3</xdr:row>
      <xdr:rowOff>183287</xdr:rowOff>
    </xdr:to>
    <xdr:pic>
      <xdr:nvPicPr>
        <xdr:cNvPr id="2" name="Picture 1" descr="UBF logo jpeg 2">
          <a:extLst>
            <a:ext uri="{FF2B5EF4-FFF2-40B4-BE49-F238E27FC236}">
              <a16:creationId xmlns:a16="http://schemas.microsoft.com/office/drawing/2014/main" id="{BF9D3F50-879D-4731-869D-6897E2A5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35" t="40564" r="15479" b="39490"/>
        <a:stretch>
          <a:fillRect/>
        </a:stretch>
      </xdr:blipFill>
      <xdr:spPr bwMode="auto">
        <a:xfrm>
          <a:off x="1408669" y="0"/>
          <a:ext cx="5420756" cy="783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13</xdr:row>
          <xdr:rowOff>28575</xdr:rowOff>
        </xdr:from>
        <xdr:to>
          <xdr:col>12</xdr:col>
          <xdr:colOff>19050</xdr:colOff>
          <xdr:row>13</xdr:row>
          <xdr:rowOff>171450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47D2-DCB9-4753-BE0D-389A3A659858}">
  <sheetPr>
    <pageSetUpPr fitToPage="1"/>
  </sheetPr>
  <dimension ref="A1:O47"/>
  <sheetViews>
    <sheetView tabSelected="1" topLeftCell="A21" zoomScaleNormal="100" workbookViewId="0">
      <selection activeCell="B34" sqref="B34"/>
    </sheetView>
  </sheetViews>
  <sheetFormatPr defaultRowHeight="18.75" x14ac:dyDescent="0.3"/>
  <cols>
    <col min="1" max="5" width="9.140625" style="5"/>
    <col min="6" max="6" width="14" style="5" customWidth="1"/>
    <col min="7" max="7" width="17.5703125" style="5" customWidth="1"/>
    <col min="8" max="8" width="12.42578125" style="5" customWidth="1"/>
    <col min="9" max="9" width="9.140625" style="5"/>
    <col min="10" max="10" width="7.42578125" style="5" customWidth="1"/>
    <col min="11" max="11" width="9.140625" style="5"/>
    <col min="12" max="12" width="18.140625" style="5" customWidth="1"/>
    <col min="13" max="14" width="9.140625" style="5"/>
    <col min="15" max="15" width="12.7109375" style="5" bestFit="1" customWidth="1"/>
    <col min="16" max="16" width="9.85546875" style="5" bestFit="1" customWidth="1"/>
    <col min="17" max="16384" width="9.140625" style="5"/>
  </cols>
  <sheetData>
    <row r="1" spans="1:12" x14ac:dyDescent="0.3">
      <c r="A1" s="1"/>
      <c r="B1" s="2"/>
      <c r="C1" s="2"/>
      <c r="D1" s="2"/>
      <c r="E1" s="3"/>
      <c r="F1" s="1"/>
      <c r="G1" s="1"/>
      <c r="H1" s="1"/>
      <c r="I1" s="1"/>
      <c r="J1" s="1"/>
      <c r="K1" s="1"/>
      <c r="L1" s="4"/>
    </row>
    <row r="2" spans="1:12" x14ac:dyDescent="0.3">
      <c r="A2" s="1"/>
      <c r="B2" s="2"/>
      <c r="C2" s="2"/>
      <c r="D2" s="2"/>
      <c r="E2" s="3"/>
      <c r="F2" s="1"/>
      <c r="G2" s="1"/>
      <c r="H2" s="1"/>
      <c r="I2" s="1"/>
      <c r="J2" s="1"/>
      <c r="K2" s="1"/>
      <c r="L2" s="4"/>
    </row>
    <row r="3" spans="1:12" x14ac:dyDescent="0.3">
      <c r="A3" s="1"/>
      <c r="B3" s="2"/>
      <c r="C3" s="2"/>
      <c r="D3" s="2"/>
      <c r="E3" s="3"/>
      <c r="F3" s="6"/>
      <c r="G3" s="1"/>
      <c r="H3" s="1"/>
      <c r="I3" s="1"/>
      <c r="J3" s="1"/>
      <c r="K3" s="1"/>
      <c r="L3" s="4"/>
    </row>
    <row r="4" spans="1:12" x14ac:dyDescent="0.3">
      <c r="A4" s="1"/>
      <c r="B4" s="2"/>
      <c r="C4" s="2"/>
      <c r="D4" s="2"/>
      <c r="E4" s="3"/>
      <c r="F4" s="1"/>
      <c r="G4" s="1"/>
      <c r="H4" s="1"/>
      <c r="I4" s="1"/>
      <c r="J4" s="1"/>
      <c r="K4" s="1"/>
      <c r="L4" s="4"/>
    </row>
    <row r="5" spans="1:12" x14ac:dyDescent="0.3">
      <c r="A5" s="1"/>
      <c r="B5" s="2"/>
      <c r="C5" s="2"/>
      <c r="D5" s="2"/>
      <c r="E5" s="3"/>
      <c r="F5" s="1"/>
      <c r="G5" s="1"/>
      <c r="H5" s="1"/>
      <c r="I5" s="1"/>
      <c r="J5" s="1"/>
      <c r="K5" s="1"/>
      <c r="L5" s="4"/>
    </row>
    <row r="6" spans="1:12" x14ac:dyDescent="0.3">
      <c r="A6" s="1"/>
      <c r="B6" s="7" t="s">
        <v>0</v>
      </c>
      <c r="C6" s="8"/>
      <c r="D6" s="9"/>
      <c r="E6" s="10"/>
      <c r="F6" s="11"/>
      <c r="G6" s="11"/>
      <c r="H6" s="12"/>
      <c r="I6" s="11"/>
      <c r="J6" s="11"/>
      <c r="K6" s="13"/>
      <c r="L6" s="14"/>
    </row>
    <row r="7" spans="1:12" x14ac:dyDescent="0.3">
      <c r="A7" s="1"/>
      <c r="B7" s="2"/>
      <c r="C7" s="2"/>
      <c r="D7" s="2"/>
      <c r="E7" s="3"/>
      <c r="F7" s="1"/>
      <c r="G7" s="1"/>
      <c r="H7" s="1"/>
      <c r="I7" s="1"/>
      <c r="J7" s="1"/>
      <c r="K7" s="1"/>
      <c r="L7" s="4"/>
    </row>
    <row r="8" spans="1:12" x14ac:dyDescent="0.3">
      <c r="A8" s="1"/>
      <c r="B8" s="2"/>
      <c r="C8" s="2"/>
      <c r="D8" s="2"/>
      <c r="E8" s="3"/>
      <c r="F8" s="1"/>
      <c r="G8" s="1"/>
      <c r="H8" s="1"/>
      <c r="I8" s="1"/>
      <c r="J8" s="1"/>
      <c r="K8" s="1"/>
      <c r="L8" s="4"/>
    </row>
    <row r="9" spans="1:12" x14ac:dyDescent="0.3">
      <c r="A9" s="1"/>
      <c r="B9" s="2" t="s">
        <v>1</v>
      </c>
      <c r="C9" s="80">
        <f ca="1">TODAY()</f>
        <v>46155</v>
      </c>
      <c r="D9" s="80"/>
      <c r="E9" s="80"/>
      <c r="F9" s="80"/>
      <c r="G9" s="15"/>
      <c r="H9" s="1"/>
      <c r="I9" s="16"/>
      <c r="J9" s="16" t="s">
        <v>2</v>
      </c>
      <c r="K9" s="17"/>
      <c r="L9" s="18"/>
    </row>
    <row r="10" spans="1:12" x14ac:dyDescent="0.3">
      <c r="A10" s="1"/>
      <c r="B10" s="2"/>
      <c r="C10" s="19"/>
      <c r="D10" s="19"/>
      <c r="E10" s="20"/>
      <c r="F10" s="6"/>
      <c r="G10" s="1"/>
      <c r="H10" s="1"/>
      <c r="I10" s="16"/>
      <c r="J10" s="16"/>
      <c r="K10" s="2"/>
      <c r="L10" s="1"/>
    </row>
    <row r="11" spans="1:12" x14ac:dyDescent="0.3">
      <c r="A11" s="1"/>
      <c r="B11" s="2" t="s">
        <v>3</v>
      </c>
      <c r="C11" s="81">
        <f>L31</f>
        <v>991200</v>
      </c>
      <c r="D11" s="81"/>
      <c r="E11" s="81"/>
      <c r="F11" s="81"/>
      <c r="G11" s="21"/>
      <c r="H11" s="1"/>
      <c r="I11" s="16"/>
      <c r="J11" s="16" t="s">
        <v>4</v>
      </c>
      <c r="K11" s="17"/>
      <c r="L11" s="22"/>
    </row>
    <row r="12" spans="1:12" x14ac:dyDescent="0.3">
      <c r="A12" s="1"/>
      <c r="B12" s="16"/>
      <c r="C12" s="2"/>
      <c r="D12" s="2"/>
      <c r="E12" s="3"/>
      <c r="F12" s="1"/>
      <c r="G12" s="1"/>
      <c r="H12" s="1"/>
      <c r="I12" s="1"/>
      <c r="J12" s="1"/>
      <c r="K12" s="1"/>
      <c r="L12" s="23"/>
    </row>
    <row r="13" spans="1:12" x14ac:dyDescent="0.3">
      <c r="A13" s="1"/>
      <c r="B13" s="24" t="s">
        <v>5</v>
      </c>
      <c r="C13" s="82" t="s">
        <v>36</v>
      </c>
      <c r="D13" s="82"/>
      <c r="E13" s="82"/>
      <c r="F13" s="82"/>
      <c r="G13" s="82"/>
      <c r="H13" s="82"/>
      <c r="I13" s="82"/>
      <c r="J13" s="82"/>
      <c r="K13" s="25"/>
      <c r="L13" s="25"/>
    </row>
    <row r="14" spans="1:12" x14ac:dyDescent="0.3">
      <c r="A14" s="1"/>
      <c r="B14" s="2"/>
      <c r="C14" s="2"/>
      <c r="D14" s="2"/>
      <c r="E14" s="3"/>
      <c r="F14" s="1"/>
      <c r="G14" s="1"/>
      <c r="H14" s="1"/>
      <c r="I14" s="1"/>
      <c r="J14" s="1"/>
      <c r="K14" s="1"/>
      <c r="L14" s="4"/>
    </row>
    <row r="15" spans="1:12" x14ac:dyDescent="0.3">
      <c r="A15" s="1"/>
      <c r="B15" s="2"/>
      <c r="C15" s="2"/>
      <c r="D15" s="2"/>
      <c r="E15" s="20"/>
      <c r="F15" s="83"/>
      <c r="G15" s="83"/>
      <c r="H15" s="83"/>
      <c r="I15" s="83"/>
      <c r="J15" s="83"/>
      <c r="K15" s="1"/>
      <c r="L15" s="26">
        <v>2</v>
      </c>
    </row>
    <row r="16" spans="1:12" x14ac:dyDescent="0.3">
      <c r="A16" s="1"/>
      <c r="B16" s="2"/>
      <c r="C16" s="2"/>
      <c r="D16" s="2"/>
      <c r="E16" s="3"/>
      <c r="F16" s="1"/>
      <c r="G16" s="1"/>
      <c r="H16" s="1"/>
      <c r="I16" s="1"/>
      <c r="J16" s="1"/>
      <c r="K16" s="1"/>
      <c r="L16" s="27"/>
    </row>
    <row r="17" spans="1:15" ht="37.5" x14ac:dyDescent="0.3">
      <c r="A17" s="1"/>
      <c r="B17" s="28" t="s">
        <v>6</v>
      </c>
      <c r="C17" s="84" t="s">
        <v>7</v>
      </c>
      <c r="D17" s="85"/>
      <c r="E17" s="85"/>
      <c r="F17" s="85"/>
      <c r="G17" s="85"/>
      <c r="H17" s="85"/>
      <c r="I17" s="85"/>
      <c r="J17" s="86"/>
      <c r="K17" s="29" t="s">
        <v>8</v>
      </c>
      <c r="L17" s="30" t="str">
        <f>IF(L15=1,"Amount - USD",IF(L15=3,"Amount - EURs",IF(L15=4,"Amount - GBP","Amount - UGX")))</f>
        <v>Amount - UGX</v>
      </c>
    </row>
    <row r="18" spans="1:15" ht="42" customHeight="1" x14ac:dyDescent="0.3">
      <c r="A18" s="1"/>
      <c r="B18" s="29"/>
      <c r="C18" s="79" t="s">
        <v>37</v>
      </c>
      <c r="D18" s="79"/>
      <c r="E18" s="79"/>
      <c r="F18" s="79"/>
      <c r="G18" s="79"/>
      <c r="H18" s="79"/>
      <c r="I18" s="79"/>
      <c r="J18" s="79"/>
      <c r="K18" s="31"/>
      <c r="L18" s="32">
        <f>210000*4</f>
        <v>840000</v>
      </c>
      <c r="O18" s="66"/>
    </row>
    <row r="19" spans="1:15" x14ac:dyDescent="0.3">
      <c r="A19" s="1"/>
      <c r="B19" s="33"/>
      <c r="C19" s="68"/>
      <c r="D19" s="68"/>
      <c r="E19" s="68"/>
      <c r="F19" s="68"/>
      <c r="G19" s="68"/>
      <c r="H19" s="68"/>
      <c r="I19" s="68"/>
      <c r="J19" s="68"/>
      <c r="K19" s="31"/>
      <c r="L19" s="34"/>
    </row>
    <row r="20" spans="1:15" x14ac:dyDescent="0.3">
      <c r="A20" s="1"/>
      <c r="B20" s="33"/>
      <c r="C20" s="69"/>
      <c r="D20" s="70"/>
      <c r="E20" s="70"/>
      <c r="F20" s="70"/>
      <c r="G20" s="70"/>
      <c r="H20" s="70"/>
      <c r="I20" s="70"/>
      <c r="J20" s="71"/>
      <c r="K20" s="31"/>
      <c r="L20" s="34"/>
    </row>
    <row r="21" spans="1:15" x14ac:dyDescent="0.3">
      <c r="A21" s="1"/>
      <c r="B21" s="33"/>
      <c r="C21" s="69"/>
      <c r="D21" s="70"/>
      <c r="E21" s="70"/>
      <c r="F21" s="70"/>
      <c r="G21" s="70"/>
      <c r="H21" s="70"/>
      <c r="I21" s="70"/>
      <c r="J21" s="71"/>
      <c r="K21" s="31"/>
      <c r="L21" s="34"/>
    </row>
    <row r="22" spans="1:15" x14ac:dyDescent="0.3">
      <c r="A22" s="1"/>
      <c r="B22" s="33"/>
      <c r="C22" s="69"/>
      <c r="D22" s="70"/>
      <c r="E22" s="70"/>
      <c r="F22" s="70"/>
      <c r="G22" s="70"/>
      <c r="H22" s="70"/>
      <c r="I22" s="70"/>
      <c r="J22" s="71"/>
      <c r="K22" s="31"/>
      <c r="L22" s="34"/>
    </row>
    <row r="23" spans="1:15" x14ac:dyDescent="0.3">
      <c r="A23" s="1"/>
      <c r="B23" s="33"/>
      <c r="C23" s="69"/>
      <c r="D23" s="70"/>
      <c r="E23" s="70"/>
      <c r="F23" s="70"/>
      <c r="G23" s="70"/>
      <c r="H23" s="70"/>
      <c r="I23" s="70"/>
      <c r="J23" s="71"/>
      <c r="K23" s="31"/>
      <c r="L23" s="64"/>
    </row>
    <row r="24" spans="1:15" x14ac:dyDescent="0.3">
      <c r="A24" s="1"/>
      <c r="B24" s="33"/>
      <c r="C24" s="69"/>
      <c r="D24" s="70"/>
      <c r="E24" s="70"/>
      <c r="F24" s="70"/>
      <c r="G24" s="70"/>
      <c r="H24" s="70"/>
      <c r="I24" s="70"/>
      <c r="J24" s="71"/>
      <c r="K24" s="31"/>
      <c r="L24" s="35"/>
    </row>
    <row r="25" spans="1:15" x14ac:dyDescent="0.3">
      <c r="A25" s="1"/>
      <c r="B25" s="31"/>
      <c r="C25" s="68"/>
      <c r="D25" s="68"/>
      <c r="E25" s="68"/>
      <c r="F25" s="68"/>
      <c r="G25" s="68"/>
      <c r="H25" s="68"/>
      <c r="I25" s="68"/>
      <c r="J25" s="68"/>
      <c r="K25" s="31"/>
      <c r="L25" s="35"/>
    </row>
    <row r="26" spans="1:15" x14ac:dyDescent="0.3">
      <c r="A26" s="1"/>
      <c r="B26" s="31"/>
      <c r="C26" s="36"/>
      <c r="D26" s="36"/>
      <c r="E26" s="36"/>
      <c r="F26" s="36"/>
      <c r="G26" s="36"/>
      <c r="H26" s="36"/>
      <c r="I26" s="36"/>
      <c r="J26" s="36"/>
      <c r="K26" s="37"/>
      <c r="L26" s="35"/>
    </row>
    <row r="27" spans="1:15" x14ac:dyDescent="0.3">
      <c r="A27" s="1"/>
      <c r="B27" s="31"/>
      <c r="C27" s="72" t="s">
        <v>9</v>
      </c>
      <c r="D27" s="73"/>
      <c r="E27" s="73"/>
      <c r="F27" s="73"/>
      <c r="G27" s="38" t="s">
        <v>35</v>
      </c>
      <c r="H27" s="39">
        <f>IF(G27="YES",18%,"")</f>
        <v>0.18</v>
      </c>
      <c r="I27" s="38"/>
      <c r="J27" s="38"/>
      <c r="K27" s="31"/>
      <c r="L27" s="65">
        <f>37800*4</f>
        <v>151200</v>
      </c>
    </row>
    <row r="28" spans="1:15" x14ac:dyDescent="0.3">
      <c r="A28" s="1"/>
      <c r="B28" s="31"/>
      <c r="C28" s="74" t="s">
        <v>10</v>
      </c>
      <c r="D28" s="75"/>
      <c r="E28" s="75"/>
      <c r="F28" s="75"/>
      <c r="G28" s="40" t="s">
        <v>33</v>
      </c>
      <c r="H28" s="41">
        <v>0</v>
      </c>
      <c r="I28" s="40"/>
      <c r="J28" s="40"/>
      <c r="K28" s="31"/>
      <c r="L28" s="42">
        <f>IF(G28="YES",SUM(L18:L24)*H28,0)</f>
        <v>0</v>
      </c>
    </row>
    <row r="29" spans="1:15" x14ac:dyDescent="0.3">
      <c r="A29" s="1"/>
      <c r="B29" s="31"/>
      <c r="C29" s="76"/>
      <c r="D29" s="77"/>
      <c r="E29" s="77"/>
      <c r="F29" s="77"/>
      <c r="G29" s="77"/>
      <c r="H29" s="77"/>
      <c r="I29" s="77"/>
      <c r="J29" s="77"/>
      <c r="K29" s="31"/>
      <c r="L29" s="43"/>
    </row>
    <row r="30" spans="1:15" x14ac:dyDescent="0.3">
      <c r="A30" s="1"/>
      <c r="B30" s="33"/>
      <c r="C30" s="78" t="s">
        <v>11</v>
      </c>
      <c r="D30" s="78"/>
      <c r="E30" s="78"/>
      <c r="F30" s="78"/>
      <c r="G30" s="78"/>
      <c r="H30" s="78"/>
      <c r="I30" s="78"/>
      <c r="J30" s="78"/>
      <c r="K30" s="31"/>
      <c r="L30" s="44"/>
    </row>
    <row r="31" spans="1:15" x14ac:dyDescent="0.3">
      <c r="A31" s="1"/>
      <c r="B31" s="33" t="s">
        <v>12</v>
      </c>
      <c r="C31" s="67" t="str">
        <f>CHOOSE(LEFT(TEXT(L31,"000000000.00"))+1,,"One","Two","Three","Four","Five","Six","Seven","Eight","Nine")
&amp;IF(--LEFT(TEXT(L31,"000000000.00"))=0,,IF(AND(--MID(TEXT(L31,"000000000.00"),2,1)=0,--MID(TEXT(L31,"000000000.00"),3,1)=0)," Hundred"," Hundred and "))
&amp;CHOOSE(MID(TEXT(L31,"000000000.00"),2,1)+1,,,"Twenty ","Thirty ","Forty ","Fifty ","Sixty ","Seventy ","Eighty ","Ninety ")
&amp;IF(--MID(TEXT(L31,"000000000.00"),2,1)&lt;&gt;1,CHOOSE(MID(TEXT(L31,"000000000.00"),3,1)+1,,"One","Two","Three","Four","Five","Six","Seven","Eight","Nine"),
CHOOSE(MID(TEXT(L31,"000000000.00"),3,1)+1,"Ten","Eleven","Twelve","Thirteen","Fourteen","Fifteen","Sixteen","Seventeen","Eighteen","Nineteen"))
&amp;IF((--LEFT(TEXT(L31,"000000000.00"))+MID(TEXT(L31,"000000000.00"),2,1)+MID(TEXT(L31,"000000000.00"),3,1))=0,,IF(AND((--MID(TEXT(L31,"000000000.00"),4,1)+MID(TEXT(L31,"000000000.00"),5,1)+MID(TEXT(L31,"000000000.00"),6,1)+MID(TEXT(L31,"000000000.00"),7,1))=0,(--MID(TEXT(L31,"000000000.00"),8,1)+RIGHT(TEXT(L31,"000000000.00")))&gt;0)," Million and "," Million "))
&amp;CHOOSE(MID(TEXT(L31,"000000000.00"),4,1)+1,,"One","Two","Three","Four","Five","Six","Seven","Eight","Nine")
&amp;IF(--MID(TEXT(L31,"000000000.00"),4,1)=0,,IF(AND(--MID(TEXT(L31,"000000000.00"),5,1)=0,--MID(TEXT(L31,"000000000.00"),6,1)=0)," Hundred"," Hundred and"))
&amp;CHOOSE(MID(TEXT(L31,"000000000.00"),5,1)+1,,," Twenty"," Thirty"," Forty"," Fifty"," Sixty"," Seventy"," Eighty"," Ninety")
&amp;IF(--MID(TEXT(L31,"000000000.00"),5,1)&lt;&gt;1,CHOOSE(MID(TEXT(L31,"000000000.00"),6,1)+1,," One"," Two"," Three"," Four"," Five"," Six"," Seven"," Eight"," Nine"),CHOOSE(MID(TEXT(L31,"000000000.00"),6,1)+1," Ten"," Eleven"," Twelve"," Thirteen"," Fourteen"," Fifteen"," Sixteen"," Seventeen"," Eighteen"," Nineteen"))
&amp;IF((--MID(TEXT(L31,"000000000.00"),4,1)+MID(TEXT(L31,"000000000.00"),5,1)+MID(TEXT(L31,"000000000.00"),6,1))=0,,IF(OR((--MID(TEXT(L31,"000000000.00"),7,1)+MID(TEXT(L31,"000000000.00"),8,1)+MID(TEXT(L31,"000000000.00"),9,1))=0,--MID(TEXT(L31,"000000000.00"),7,1)&lt;&gt;0)," Thousand "," Thousand and "))
&amp;CHOOSE(MID(TEXT(L31,"000000000.00"),7,1)+1,,"One","Two","Three","Four","Five","Six","Seven","Eight","Nine")
&amp;IF(--MID(TEXT(L31,"000000000.00"),7,1)=0,,IF(AND(--MID(TEXT(L31,"000000000.00"),8,1)=0,--MID(TEXT(L31,"000000000.00"),9,1)=0)," Hundred "," Hundred and "))&amp;
CHOOSE(MID(TEXT(L31,"000000000.00"),8,1)+1,,,"Twenty ","Thirty ","Forty ","Fifty ","Sixty ","Seventy ","Eighty ","Ninety ")
&amp;IF(--MID(TEXT(L31,"000000000.00"),8,1)&lt;&gt;1,CHOOSE(MID(TEXT(L31,"000000000.00"),9,1)+1,,"One","Two","Three","Four","Five","Six","Seven","Eight","Nine"),CHOOSE(MID(TEXT(L31,"000000000.00"),9,1)+1,"Ten","Eleven","Twelve","Thirteen","Fourteen","Fifteen","Sixteen","Seventeen","Eighteen","Nineteen"))&amp;IF(L15=1," US Dollars only.",IF(L15=3," Euros only",IF(L15=4," Pounds only"," Uganda Shillings only")))</f>
        <v>Nine Hundred and Ninety One Thousand Two Hundred  Uganda Shillings only</v>
      </c>
      <c r="D31" s="67"/>
      <c r="E31" s="67"/>
      <c r="F31" s="67"/>
      <c r="G31" s="67"/>
      <c r="H31" s="67"/>
      <c r="I31" s="67"/>
      <c r="J31" s="67"/>
      <c r="K31" s="45"/>
      <c r="L31" s="46">
        <f>SUM(L18:L27)</f>
        <v>991200</v>
      </c>
    </row>
    <row r="32" spans="1:15" x14ac:dyDescent="0.3">
      <c r="A32" s="1"/>
      <c r="B32" s="2"/>
      <c r="C32" s="2"/>
      <c r="D32" s="2"/>
      <c r="E32" s="3"/>
      <c r="F32" s="1"/>
      <c r="G32" s="1"/>
      <c r="H32" s="1"/>
      <c r="I32" s="1"/>
      <c r="J32" s="1"/>
      <c r="K32" s="1"/>
      <c r="L32" s="4"/>
    </row>
    <row r="33" spans="1:12" x14ac:dyDescent="0.3">
      <c r="A33" s="1"/>
      <c r="B33" s="2"/>
      <c r="C33" s="2"/>
      <c r="D33" s="2"/>
      <c r="E33" s="3"/>
      <c r="F33" s="1"/>
      <c r="G33" s="1"/>
      <c r="H33" s="1"/>
      <c r="I33" s="1"/>
      <c r="J33" s="1"/>
      <c r="K33" s="1"/>
      <c r="L33" s="4"/>
    </row>
    <row r="34" spans="1:12" x14ac:dyDescent="0.3">
      <c r="A34" s="1"/>
      <c r="B34" s="24" t="s">
        <v>13</v>
      </c>
      <c r="C34" s="2"/>
      <c r="D34" s="2"/>
      <c r="E34" s="3"/>
      <c r="F34" s="1" t="s">
        <v>14</v>
      </c>
      <c r="G34" s="1"/>
      <c r="H34" s="1" t="s">
        <v>15</v>
      </c>
      <c r="I34" s="1"/>
      <c r="J34" s="1"/>
      <c r="K34" s="1" t="s">
        <v>16</v>
      </c>
      <c r="L34" s="4"/>
    </row>
    <row r="35" spans="1:12" ht="33" customHeight="1" x14ac:dyDescent="0.3">
      <c r="A35" s="1"/>
      <c r="B35" s="47" t="s">
        <v>17</v>
      </c>
      <c r="C35" s="22"/>
      <c r="D35" s="1"/>
      <c r="E35" s="48"/>
      <c r="F35" s="49" t="s">
        <v>18</v>
      </c>
      <c r="G35" s="2"/>
      <c r="H35" s="17"/>
      <c r="I35" s="17"/>
      <c r="J35" s="1"/>
      <c r="K35" s="50">
        <f ca="1">TODAY()</f>
        <v>46155</v>
      </c>
      <c r="L35" s="51"/>
    </row>
    <row r="36" spans="1:12" x14ac:dyDescent="0.3">
      <c r="A36" s="1"/>
      <c r="B36" s="2"/>
      <c r="C36" s="2"/>
      <c r="D36" s="2"/>
      <c r="E36" s="3"/>
      <c r="F36" s="1"/>
      <c r="G36" s="1"/>
      <c r="H36" s="1"/>
      <c r="I36" s="1"/>
      <c r="J36" s="1"/>
      <c r="K36" s="1"/>
      <c r="L36" s="4"/>
    </row>
    <row r="37" spans="1:12" x14ac:dyDescent="0.3">
      <c r="A37" s="52"/>
      <c r="B37" s="24" t="s">
        <v>19</v>
      </c>
      <c r="C37" s="2"/>
      <c r="D37" s="2"/>
      <c r="E37" s="3"/>
      <c r="F37" s="24"/>
      <c r="G37" s="1"/>
      <c r="H37" s="1"/>
      <c r="I37" s="1"/>
      <c r="J37" s="1"/>
      <c r="K37" s="1"/>
      <c r="L37" s="1"/>
    </row>
    <row r="38" spans="1:12" x14ac:dyDescent="0.3">
      <c r="A38" s="16"/>
      <c r="B38" s="47" t="s">
        <v>20</v>
      </c>
      <c r="C38" s="22"/>
      <c r="D38" s="1"/>
      <c r="E38" s="63" t="s">
        <v>34</v>
      </c>
      <c r="F38" s="49"/>
      <c r="G38" s="1"/>
      <c r="H38" s="22"/>
      <c r="I38" s="22"/>
      <c r="J38" s="1"/>
      <c r="K38" s="53"/>
      <c r="L38" s="53"/>
    </row>
    <row r="39" spans="1:12" x14ac:dyDescent="0.3">
      <c r="A39" s="16"/>
      <c r="B39" s="54"/>
      <c r="C39" s="1"/>
      <c r="D39" s="1"/>
      <c r="E39" s="48"/>
      <c r="F39" s="55"/>
      <c r="G39" s="1"/>
      <c r="H39" s="1"/>
      <c r="I39" s="1"/>
      <c r="J39" s="1"/>
      <c r="K39" s="56"/>
      <c r="L39" s="56"/>
    </row>
    <row r="40" spans="1:12" x14ac:dyDescent="0.3">
      <c r="A40" s="16"/>
      <c r="B40" s="25" t="s">
        <v>21</v>
      </c>
      <c r="C40" s="1"/>
      <c r="D40" s="1"/>
      <c r="E40" s="48"/>
      <c r="F40" s="55"/>
      <c r="G40" s="1"/>
      <c r="H40" s="1"/>
      <c r="I40" s="1"/>
      <c r="J40" s="1"/>
      <c r="K40" s="56"/>
      <c r="L40" s="56"/>
    </row>
    <row r="41" spans="1:12" x14ac:dyDescent="0.3">
      <c r="A41" s="16"/>
      <c r="B41" s="47" t="s">
        <v>22</v>
      </c>
      <c r="C41" s="22"/>
      <c r="D41" s="1"/>
      <c r="E41" s="48"/>
      <c r="F41" s="49" t="s">
        <v>23</v>
      </c>
      <c r="G41" s="1"/>
      <c r="H41" s="22"/>
      <c r="I41" s="22"/>
      <c r="J41" s="1"/>
      <c r="K41" s="53"/>
      <c r="L41" s="53"/>
    </row>
    <row r="42" spans="1:12" x14ac:dyDescent="0.3">
      <c r="A42" s="16"/>
      <c r="B42" s="24"/>
      <c r="C42" s="2"/>
      <c r="D42" s="2"/>
      <c r="E42" s="3"/>
      <c r="F42" s="1"/>
      <c r="G42" s="1"/>
      <c r="H42" s="1"/>
      <c r="I42" s="1"/>
      <c r="J42" s="1"/>
      <c r="K42" s="1"/>
      <c r="L42" s="1"/>
    </row>
    <row r="43" spans="1:12" x14ac:dyDescent="0.3">
      <c r="A43" s="52"/>
      <c r="B43" s="57"/>
      <c r="C43" s="8" t="s">
        <v>24</v>
      </c>
      <c r="D43" s="58"/>
      <c r="E43" s="57" t="s">
        <v>25</v>
      </c>
      <c r="F43" s="59" t="s">
        <v>26</v>
      </c>
      <c r="G43" s="8" t="s">
        <v>27</v>
      </c>
      <c r="H43" s="58"/>
      <c r="I43" s="59" t="s">
        <v>28</v>
      </c>
      <c r="J43" s="8" t="s">
        <v>29</v>
      </c>
      <c r="K43" s="58"/>
      <c r="L43" s="27" t="s">
        <v>30</v>
      </c>
    </row>
    <row r="44" spans="1:12" x14ac:dyDescent="0.3">
      <c r="A44" s="1"/>
      <c r="B44" s="57" t="s">
        <v>31</v>
      </c>
      <c r="C44" s="8"/>
      <c r="D44" s="58"/>
      <c r="E44" s="60"/>
      <c r="F44" s="59"/>
      <c r="G44" s="8"/>
      <c r="H44" s="58"/>
      <c r="I44" s="59"/>
      <c r="J44" s="8"/>
      <c r="K44" s="58"/>
      <c r="L44" s="27"/>
    </row>
    <row r="45" spans="1:12" x14ac:dyDescent="0.3">
      <c r="A45" s="1"/>
      <c r="B45" s="57" t="s">
        <v>32</v>
      </c>
      <c r="C45" s="61"/>
      <c r="D45" s="62"/>
      <c r="E45" s="60"/>
      <c r="F45" s="59"/>
      <c r="G45" s="61"/>
      <c r="H45" s="62"/>
      <c r="I45" s="59"/>
      <c r="J45" s="61"/>
      <c r="K45" s="62"/>
      <c r="L45" s="27"/>
    </row>
    <row r="46" spans="1:12" x14ac:dyDescent="0.3">
      <c r="A46" s="1"/>
      <c r="B46" s="2"/>
      <c r="C46" s="2"/>
      <c r="D46" s="2"/>
      <c r="E46" s="3"/>
      <c r="F46" s="1"/>
      <c r="G46" s="1"/>
      <c r="H46" s="1"/>
      <c r="I46" s="1"/>
      <c r="J46" s="1"/>
      <c r="K46" s="1"/>
      <c r="L46" s="4"/>
    </row>
    <row r="47" spans="1:12" x14ac:dyDescent="0.3">
      <c r="A47" s="1"/>
      <c r="B47" s="2"/>
      <c r="C47" s="2"/>
      <c r="D47" s="2"/>
      <c r="E47" s="3"/>
      <c r="F47" s="1"/>
      <c r="G47" s="1"/>
      <c r="H47" s="1"/>
      <c r="I47" s="1"/>
      <c r="J47" s="1"/>
      <c r="K47" s="1"/>
      <c r="L47" s="4"/>
    </row>
  </sheetData>
  <mergeCells count="18">
    <mergeCell ref="C18:J18"/>
    <mergeCell ref="C9:F9"/>
    <mergeCell ref="C11:F11"/>
    <mergeCell ref="C13:J13"/>
    <mergeCell ref="F15:J15"/>
    <mergeCell ref="C17:J17"/>
    <mergeCell ref="C31:J31"/>
    <mergeCell ref="C19:J19"/>
    <mergeCell ref="C20:J20"/>
    <mergeCell ref="C21:J21"/>
    <mergeCell ref="C22:J22"/>
    <mergeCell ref="C23:J23"/>
    <mergeCell ref="C24:J24"/>
    <mergeCell ref="C25:J25"/>
    <mergeCell ref="C27:F27"/>
    <mergeCell ref="C28:F28"/>
    <mergeCell ref="C29:J29"/>
    <mergeCell ref="C30:J30"/>
  </mergeCells>
  <conditionalFormatting sqref="C11:D11 L19:L26 L28:L29 L31">
    <cfRule type="expression" dxfId="3" priority="1">
      <formula>$L$15=1</formula>
    </cfRule>
    <cfRule type="expression" dxfId="2" priority="2">
      <formula>$L$15=3</formula>
    </cfRule>
    <cfRule type="expression" dxfId="1" priority="4">
      <formula>$L$15=4</formula>
    </cfRule>
  </conditionalFormatting>
  <conditionalFormatting sqref="C28:K28">
    <cfRule type="expression" dxfId="0" priority="3">
      <formula>OR(AND($G$28="YES",$H$28=0),AND($G$28="NO",OR($H$28=6%,$H$28=15%)))</formula>
    </cfRule>
  </conditionalFormatting>
  <dataValidations count="2">
    <dataValidation type="list" allowBlank="1" showInputMessage="1" showErrorMessage="1" sqref="G27:G28" xr:uid="{41E4F301-7080-4303-88A3-E73EB8861BF1}">
      <formula1>"YES,NO"</formula1>
    </dataValidation>
    <dataValidation type="list" allowBlank="1" showInputMessage="1" showErrorMessage="1" sqref="H28" xr:uid="{99EA5CFF-85A6-4156-B3DC-4956FB50721D}">
      <formula1>"0,6%,15%,"</formula1>
    </dataValidation>
  </dataValidations>
  <pageMargins left="0.25" right="0.25" top="0.75" bottom="0.75" header="0.3" footer="0.3"/>
  <pageSetup paperSize="9" scale="6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locked="0" defaultSize="0" print="0" autoLine="0" autoPict="0">
                <anchor moveWithCells="1">
                  <from>
                    <xdr:col>11</xdr:col>
                    <xdr:colOff>9525</xdr:colOff>
                    <xdr:row>13</xdr:row>
                    <xdr:rowOff>28575</xdr:rowOff>
                  </from>
                  <to>
                    <xdr:col>12</xdr:col>
                    <xdr:colOff>19050</xdr:colOff>
                    <xdr:row>13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UBF Admin</dc:creator>
  <cp:lastModifiedBy>UBF Admin</cp:lastModifiedBy>
  <cp:lastPrinted>2026-05-05T09:55:20Z</cp:lastPrinted>
  <dcterms:created xsi:type="dcterms:W3CDTF">2026-02-27T06:15:23Z</dcterms:created>
  <dcterms:modified xsi:type="dcterms:W3CDTF">2026-05-13T07:22:54Z</dcterms:modified>
</cp:coreProperties>
</file>